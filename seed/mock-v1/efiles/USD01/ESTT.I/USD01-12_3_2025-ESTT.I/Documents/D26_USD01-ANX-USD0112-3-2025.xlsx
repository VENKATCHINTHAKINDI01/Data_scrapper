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22" customWidth="1" min="4" max="4"/>
    <col width="11" customWidth="1" min="5" max="5"/>
    <col width="22" customWidth="1" min="6" max="6"/>
    <col width="14" customWidth="1" min="7" max="7"/>
  </cols>
  <sheetData>
    <row r="1">
      <c r="A1" s="1" t="inlineStr">
        <is>
          <t>GOVERNMENT OF ANDHRA PRADESH – URBAN SERVICES DEPARTMENT (ESTT.I)</t>
        </is>
      </c>
    </row>
    <row r="2">
      <c r="A2" t="inlineStr">
        <is>
          <t>Statement of cadre strength and transfers effected during General Transfers 2025 – Urban Services Department and Regional Offices.</t>
        </is>
      </c>
    </row>
    <row r="3">
      <c r="A3" t="inlineStr">
        <is>
          <t>File No. USD01-12/3/2025-ESTT.I (Computer No. 2620051)   |   As on 31-05-2025   |   RESTRICTED</t>
        </is>
      </c>
    </row>
    <row r="5" ht="32" customHeight="1">
      <c r="A5" s="2" t="inlineStr">
        <is>
          <t>Sl.</t>
        </is>
      </c>
      <c r="B5" s="2" t="inlineStr">
        <is>
          <t>Category</t>
        </is>
      </c>
      <c r="C5" s="2" t="inlineStr">
        <is>
          <t>Cadre strength</t>
        </is>
      </c>
      <c r="D5" s="2" t="inlineStr">
        <is>
          <t>Transfers effected (GT 2025)</t>
        </is>
      </c>
      <c r="E5" s="2" t="inlineStr">
        <is>
          <t>% of cadre</t>
        </is>
      </c>
      <c r="F5" s="2" t="inlineStr">
        <is>
          <t>Ceiling (G.O.Ms.No.31/2025)</t>
        </is>
      </c>
      <c r="G5" s="2" t="inlineStr">
        <is>
          <t>Within ceiling?</t>
        </is>
      </c>
    </row>
    <row r="6">
      <c r="A6" s="3" t="n">
        <v>1</v>
      </c>
      <c r="B6" s="3" t="inlineStr">
        <is>
          <t>Superintendent</t>
        </is>
      </c>
      <c r="C6" s="3" t="n">
        <v>48</v>
      </c>
      <c r="D6" s="3" t="n">
        <v>6</v>
      </c>
      <c r="E6" s="4">
        <f>D6/C6</f>
        <v/>
      </c>
      <c r="F6" s="5" t="n">
        <v>0.15</v>
      </c>
      <c r="G6" s="3">
        <f>IF(E6&lt;=F6,"Yes","No")</f>
        <v/>
      </c>
    </row>
    <row r="7">
      <c r="A7" s="3" t="n">
        <v>2</v>
      </c>
      <c r="B7" s="3" t="inlineStr">
        <is>
          <t>Senior Assistant</t>
        </is>
      </c>
      <c r="C7" s="3" t="n">
        <v>120</v>
      </c>
      <c r="D7" s="3" t="n">
        <v>18</v>
      </c>
      <c r="E7" s="4">
        <f>D7/C7</f>
        <v/>
      </c>
      <c r="F7" s="5" t="n">
        <v>0.15</v>
      </c>
      <c r="G7" s="3">
        <f>IF(E7&lt;=F7,"Yes","No")</f>
        <v/>
      </c>
    </row>
    <row r="8">
      <c r="A8" s="3" t="n">
        <v>3</v>
      </c>
      <c r="B8" s="3" t="inlineStr">
        <is>
          <t>Junior Assistant</t>
        </is>
      </c>
      <c r="C8" s="3" t="n">
        <v>210</v>
      </c>
      <c r="D8" s="3" t="n">
        <v>29</v>
      </c>
      <c r="E8" s="4">
        <f>D8/C8</f>
        <v/>
      </c>
      <c r="F8" s="5" t="n">
        <v>0.15</v>
      </c>
      <c r="G8" s="3">
        <f>IF(E8&lt;=F8,"Yes","No")</f>
        <v/>
      </c>
    </row>
    <row r="9">
      <c r="A9" s="3" t="n">
        <v>4</v>
      </c>
      <c r="B9" s="3" t="inlineStr">
        <is>
          <t>Typist</t>
        </is>
      </c>
      <c r="C9" s="3" t="n">
        <v>36</v>
      </c>
      <c r="D9" s="3" t="n">
        <v>3</v>
      </c>
      <c r="E9" s="4">
        <f>D9/C9</f>
        <v/>
      </c>
      <c r="F9" s="5" t="n">
        <v>0.15</v>
      </c>
      <c r="G9" s="3">
        <f>IF(E9&lt;=F9,"Yes","No")</f>
        <v/>
      </c>
    </row>
    <row r="10">
      <c r="A10" s="3" t="n">
        <v>5</v>
      </c>
      <c r="B10" s="3" t="inlineStr">
        <is>
          <t>Record Assistant</t>
        </is>
      </c>
      <c r="C10" s="3" t="n">
        <v>64</v>
      </c>
      <c r="D10" s="3" t="n">
        <v>7</v>
      </c>
      <c r="E10" s="4">
        <f>D10/C10</f>
        <v/>
      </c>
      <c r="F10" s="5" t="n">
        <v>0.15</v>
      </c>
      <c r="G10" s="3">
        <f>IF(E10&lt;=F10,"Yes","No")</f>
        <v/>
      </c>
    </row>
    <row r="11">
      <c r="A11" s="6" t="inlineStr"/>
      <c r="B11" s="6" t="inlineStr">
        <is>
          <t>Total</t>
        </is>
      </c>
      <c r="C11" s="6">
        <f>SUM(C6:C10)</f>
        <v/>
      </c>
      <c r="D11" s="6">
        <f>SUM(D6:D10)</f>
        <v/>
      </c>
      <c r="E11" s="7">
        <f>D11/C11</f>
        <v/>
      </c>
      <c r="F11" s="6" t="inlineStr"/>
      <c r="G11" s="6" t="inlineStr"/>
    </row>
    <row r="13">
      <c r="A13" t="inlineStr">
        <is>
          <t>Note: Spouse-ground requests received after 31-05-2025 are not included. Prepared by Estt.I section.</t>
        </is>
      </c>
    </row>
    <row r="14">
      <c r="A14" t="inlineStr">
        <is>
          <t>SYNTHETIC TEST DATA · C2-24 mock corpus · not a Government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2026-10-02T08:08:13Z</dcterms:created>
  <dcterms:modified xmlns:dcterms="http://purl.org/dc/terms/" xmlns:xsi="http://www.w3.org/2001/XMLSchema-instance" xsi:type="dcterms:W3CDTF">2026-10-02T08:08:13Z</dcterms:modified>
</cp:coreProperties>
</file>